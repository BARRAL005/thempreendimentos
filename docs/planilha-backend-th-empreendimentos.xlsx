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ccc3e0d90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ed3201e4933e48f8"/>
    <x:sheet xmlns:r="http://schemas.openxmlformats.org/officeDocument/2006/relationships" name="Emprestimos" sheetId="2" r:id="R724760d0386c4f67"/>
    <x:sheet xmlns:r="http://schemas.openxmlformats.org/officeDocument/2006/relationships" name="Pagamentos" sheetId="3" r:id="Rf015bceb2bd64962"/>
    <x:sheet xmlns:r="http://schemas.openxmlformats.org/officeDocument/2006/relationships" name="Despesas" sheetId="4" r:id="R9327d73b07df4df0"/>
    <x:sheet xmlns:r="http://schemas.openxmlformats.org/officeDocument/2006/relationships" name="Cartoes" sheetId="5" r:id="R2cf3e2327aa649d0"/>
    <x:sheet xmlns:r="http://schemas.openxmlformats.org/officeDocument/2006/relationships" name="Empresas" sheetId="6" r:id="R206a4a6d20ca492f"/>
    <x:sheet xmlns:r="http://schemas.openxmlformats.org/officeDocument/2006/relationships" name="Resumo" sheetId="7" r:id="R3c6b4d8e7a4d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4">
    <x:font>
      <x:sz val="11"/>
      <x:name val="Carlito"/>
    </x:font>
    <x:font>
      <x:b/>
      <x:sz val="11"/>
      <x:color rgb="D4AF37"/>
      <x:name val="Carlito"/>
    </x:font>
    <x:font>
      <x:b/>
      <x:sz val="18"/>
      <x:color rgb="D4AF37"/>
      <x:name val="Carlito"/>
    </x:font>
    <x:font>
      <x:b/>
      <x:sz val="11"/>
      <x:color rgb="05050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50505"/>
      </x:patternFill>
    </x:fill>
    <x:fill>
      <x:patternFill patternType="solid">
        <x:fgColor rgb="D4AF3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b418e68da4b9c" /><Relationship Type="http://schemas.openxmlformats.org/officeDocument/2006/relationships/theme" Target="/xl/theme/theme1.xml" Id="R5fb9658834774999" /><Relationship Type="http://schemas.openxmlformats.org/officeDocument/2006/relationships/sharedStrings" Target="/xl/sharedStrings.xml" Id="R89527afcd4804ee3" /><Relationship Type="http://schemas.openxmlformats.org/officeDocument/2006/relationships/worksheet" Target="/xl/worksheets/sheet1.xml" Id="Red3201e4933e48f8" /><Relationship Type="http://schemas.openxmlformats.org/officeDocument/2006/relationships/worksheet" Target="/xl/worksheets/sheet2.xml" Id="R724760d0386c4f67" /><Relationship Type="http://schemas.openxmlformats.org/officeDocument/2006/relationships/worksheet" Target="/xl/worksheets/sheet3.xml" Id="Rf015bceb2bd64962" /><Relationship Type="http://schemas.openxmlformats.org/officeDocument/2006/relationships/worksheet" Target="/xl/worksheets/sheet4.xml" Id="R9327d73b07df4df0" /><Relationship Type="http://schemas.openxmlformats.org/officeDocument/2006/relationships/worksheet" Target="/xl/worksheets/sheet5.xml" Id="R2cf3e2327aa649d0" /><Relationship Type="http://schemas.openxmlformats.org/officeDocument/2006/relationships/worksheet" Target="/xl/worksheets/sheet6.xml" Id="R206a4a6d20ca492f" /><Relationship Type="http://schemas.openxmlformats.org/officeDocument/2006/relationships/worksheet" Target="/xl/worksheets/sheet7.xml" Id="R3c6b4d8e7a4d4b5e" /></Relationships>
</file>

<file path=xl/tables/table1.xml><?xml version="1.0" encoding="utf-8"?>
<x:table xmlns:x="http://schemas.openxmlformats.org/spreadsheetml/2006/main" id="1" name="ClientesTable" displayName="ClientesTable" ref="A1:H24" headerRowCount="1">
  <x:tableColumns count="8">
    <x:tableColumn id="1" name="id"/>
    <x:tableColumn id="2" name="nome"/>
    <x:tableColumn id="3" name="cpf"/>
    <x:tableColumn id="4" name="telefone"/>
    <x:tableColumn id="5" name="whatsapp"/>
    <x:tableColumn id="6" name="endereco"/>
    <x:tableColumn id="7" name="status"/>
    <x:tableColumn id="8" name="observacoes"/>
  </x:tableColumns>
  <x:tableStyleInfo name="TableStyleMedium2" showRowStripes="1"/>
</x:table>
</file>

<file path=xl/tables/table2.xml><?xml version="1.0" encoding="utf-8"?>
<x:table xmlns:x="http://schemas.openxmlformats.org/spreadsheetml/2006/main" id="2" name="EmprestimosTable" displayName="EmprestimosTable" ref="A1:L24" headerRowCount="1">
  <x:tableColumns count="12">
    <x:tableColumn id="1" name="id"/>
    <x:tableColumn id="2" name="clienteId"/>
    <x:tableColumn id="3" name="cliente"/>
    <x:tableColumn id="4" name="valor"/>
    <x:tableColumn id="5" name="jurosPercentual"/>
    <x:tableColumn id="6" name="jurosMensalPago"/>
    <x:tableColumn id="7" name="parcelas"/>
    <x:tableColumn id="8" name="vencimento"/>
    <x:tableColumn id="9" name="multa"/>
    <x:tableColumn id="10" name="jurosDiario"/>
    <x:tableColumn id="11" name="garantia"/>
    <x:tableColumn id="12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PagamentosTable" displayName="PagamentosTable" ref="A1:G24" headerRowCount="1">
  <x:tableColumns count="7">
    <x:tableColumn id="1" name="id"/>
    <x:tableColumn id="2" name="clienteId"/>
    <x:tableColumn id="3" name="emprestimoId"/>
    <x:tableColumn id="4" name="cliente"/>
    <x:tableColumn id="5" name="data"/>
    <x:tableColumn id="6" name="valor"/>
    <x:tableColumn id="7" name="tipo"/>
  </x:tableColumns>
  <x:tableStyleInfo name="TableStyleMedium2" showRowStripes="1"/>
</x:table>
</file>

<file path=xl/tables/table4.xml><?xml version="1.0" encoding="utf-8"?>
<x:table xmlns:x="http://schemas.openxmlformats.org/spreadsheetml/2006/main" id="4" name="DespesasTable" displayName="DespesasTable" ref="A1:G24" headerRowCount="1">
  <x:tableColumns count="7">
    <x:tableColumn id="1" name="id"/>
    <x:tableColumn id="2" name="data"/>
    <x:tableColumn id="3" name="categoria"/>
    <x:tableColumn id="4" name="descricao"/>
    <x:tableColumn id="5" name="valor"/>
    <x:tableColumn id="6" name="tipo"/>
    <x:tableColumn id="7" name="empresa"/>
  </x:tableColumns>
  <x:tableStyleInfo name="TableStyleMedium2" showRowStripes="1"/>
</x:table>
</file>

<file path=xl/tables/table5.xml><?xml version="1.0" encoding="utf-8"?>
<x:table xmlns:x="http://schemas.openxmlformats.org/spreadsheetml/2006/main" id="5" name="CartoesTable" displayName="CartoesTable" ref="A1:H23" headerRowCount="1">
  <x:tableColumns count="8">
    <x:tableColumn id="1" name="id"/>
    <x:tableColumn id="2" name="banco"/>
    <x:tableColumn id="3" name="limite"/>
    <x:tableColumn id="4" name="fechamento"/>
    <x:tableColumn id="5" name="vencimento"/>
    <x:tableColumn id="6" name="valorFatura"/>
    <x:tableColumn id="7" name="limiteDisponivel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EmpresasTable" displayName="EmpresasTable" ref="A1:F24" headerRowCount="1">
  <x:tableColumns count="6">
    <x:tableColumn id="1" name="id"/>
    <x:tableColumn id="2" name="nome"/>
    <x:tableColumn id="3" name="tipo"/>
    <x:tableColumn id="4" name="receitaMensal"/>
    <x:tableColumn id="5" name="despesaMensal"/>
    <x:tableColumn id="6" name="lucroLiqui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65b192448a4c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0c69362bab4c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bee17f074a45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60d6ace000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d483c9530441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cb7a51b621477b" /></Relationships>
</file>

<file path=xl/worksheets/sheet1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11.170000076293945" hidden="0" customWidth="1"/>
    <x:col min="3" max="3" width="12.380000114440918" hidden="0" customWidth="1"/>
    <x:col min="4" max="4" width="13.1899995803833" hidden="0" customWidth="1"/>
    <x:col min="5" max="5" width="10.359999656677246" hidden="0" customWidth="1"/>
    <x:col min="6" max="6" width="19.780000686645508" hidden="0" customWidth="1"/>
    <x:col min="7" max="7" width="10.630000114440918" hidden="0" customWidth="1"/>
    <x:col min="8" max="8" width="14.399999618530273" hidden="0" customWidth="1"/>
  </x:cols>
  <x:sheetData>
    <x:row r="1">
      <x:c r="A1" s="5" t="str">
        <x:v>id</x:v>
      </x:c>
      <x:c r="B1" s="5" t="str">
        <x:v>nome</x:v>
      </x:c>
      <x:c r="C1" s="5" t="str">
        <x:v>cpf</x:v>
      </x:c>
      <x:c r="D1" s="5" t="str">
        <x:v>telefone</x:v>
      </x:c>
      <x:c r="E1" s="5" t="str">
        <x:v>whatsapp</x:v>
      </x:c>
      <x:c r="F1" s="5" t="str">
        <x:v>endereco</x:v>
      </x:c>
      <x:c r="G1" s="5" t="str">
        <x:v>status</x:v>
      </x:c>
      <x:c r="H1" s="5" t="str">
        <x:v>observacoes</x:v>
      </x:c>
    </x:row>
    <x:row r="2">
      <x:c r="A2" t="str">
        <x:v>C001</x:v>
      </x:c>
      <x:c r="B2" t="str">
        <x:v>João Silva</x:v>
      </x:c>
      <x:c r="C2" t="str">
        <x:v>***.123.***-**</x:v>
      </x:c>
      <x:c r="D2" t="str">
        <x:v>(18) 99999-1010</x:v>
      </x:c>
      <x:c r="E2" t="str">
        <x:v>5518999991010</x:v>
      </x:c>
      <x:c r="F2" t="str">
        <x:v>Presidente Prudente - SP</x:v>
      </x:c>
      <x:c r="G2" t="str">
        <x:v>Em dia</x:v>
      </x:c>
      <x:c r="H2" t="str">
        <x:v>Cliente recorrente</x:v>
      </x:c>
    </x:row>
    <x:row r="3">
      <x:c r="A3" t="str">
        <x:v>C002</x:v>
      </x:c>
      <x:c r="B3" t="str">
        <x:v>Maria Oliveira</x:v>
      </x:c>
      <x:c r="C3" t="str">
        <x:v>***.456.***-**</x:v>
      </x:c>
      <x:c r="D3" t="str">
        <x:v>(18) 98888-2020</x:v>
      </x:c>
      <x:c r="E3" t="str">
        <x:v>5518988882020</x:v>
      </x:c>
      <x:c r="F3" t="str">
        <x:v>Regente Feijó - SP</x:v>
      </x:c>
      <x:c r="G3" t="str">
        <x:v>Atenção</x:v>
      </x:c>
      <x:c r="H3" t="str"/>
    </x:row>
    <x:row r="4">
      <x:c r="A4" t="str">
        <x:v>C003</x:v>
      </x:c>
      <x:c r="B4" t="str">
        <x:v>Carlos Santos</x:v>
      </x:c>
      <x:c r="C4" t="str">
        <x:v>***.789.***-**</x:v>
      </x:c>
      <x:c r="D4" t="str">
        <x:v>(18) 97777-3030</x:v>
      </x:c>
      <x:c r="E4" t="str">
        <x:v>5518977773030</x:v>
      </x:c>
      <x:c r="F4" t="str">
        <x:v>Álvares Machado - SP</x:v>
      </x:c>
      <x:c r="G4" t="str">
        <x:v>Inadimplente</x:v>
      </x:c>
      <x:c r="H4" t="str">
        <x:v>Cobrar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</x:row>
  </x:sheetData>
  <x:pageMargins left="0.7" right="0.7" top="0.75" bottom="0.75" header="0.3" footer="0.3"/>
  <x:tableParts count="1">
    <x:tablePart xmlns:r="http://schemas.openxmlformats.org/officeDocument/2006/relationships" r:id="R2265b192448a4c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7" hidden="0" customWidth="1"/>
    <x:col min="3" max="3" width="11.170000076293945" hidden="0" customWidth="1"/>
    <x:col min="4" max="4" width="4.039999961853027" hidden="0" customWidth="1"/>
    <x:col min="5" max="5" width="12.789999961853027" hidden="0" customWidth="1"/>
    <x:col min="6" max="6" width="14" hidden="0" customWidth="1"/>
    <x:col min="7" max="7" width="6.730000019073486" hidden="0" customWidth="1"/>
    <x:col min="8" max="8" width="9.5600004196167" hidden="0" customWidth="1"/>
    <x:col min="9" max="9" width="4.710000038146973" hidden="0" customWidth="1"/>
    <x:col min="10" max="10" width="9.020000457763672" hidden="0" customWidth="1"/>
    <x:col min="11" max="11" width="16.81999969482422" hidden="0" customWidth="1"/>
    <x:col min="12" max="12" width="7.130000114440918" hidden="0" customWidth="1"/>
  </x:cols>
  <x:sheetData>
    <x:row r="1">
      <x:c r="A1" s="5" t="str">
        <x:v>id</x:v>
      </x:c>
      <x:c r="B1" s="5" t="str">
        <x:v>clienteId</x:v>
      </x:c>
      <x:c r="C1" s="5" t="str">
        <x:v>cliente</x:v>
      </x:c>
      <x:c r="D1" s="5" t="str">
        <x:v>valor</x:v>
      </x:c>
      <x:c r="E1" s="5" t="str">
        <x:v>jurosPercentual</x:v>
      </x:c>
      <x:c r="F1" s="5" t="str">
        <x:v>jurosMensalPago</x:v>
      </x:c>
      <x:c r="G1" s="5" t="str">
        <x:v>parcelas</x:v>
      </x:c>
      <x:c r="H1" s="5" t="str">
        <x:v>vencimento</x:v>
      </x:c>
      <x:c r="I1" s="5" t="str">
        <x:v>multa</x:v>
      </x:c>
      <x:c r="J1" s="5" t="str">
        <x:v>jurosDiario</x:v>
      </x:c>
      <x:c r="K1" s="5" t="str">
        <x:v>garantia</x:v>
      </x:c>
      <x:c r="L1" s="5" t="str">
        <x:v>status</x:v>
      </x:c>
    </x:row>
    <x:row r="2">
      <x:c r="A2" t="str">
        <x:v>E001</x:v>
      </x:c>
      <x:c r="B2" t="str">
        <x:v>C001</x:v>
      </x:c>
      <x:c r="C2" t="str">
        <x:v>João Silva</x:v>
      </x:c>
      <x:c r="D2" t="n">
        <x:v>2500</x:v>
      </x:c>
      <x:c r="E2" t="n">
        <x:v>15</x:v>
      </x:c>
      <x:c r="F2" t="n">
        <x:v>375</x:v>
      </x:c>
      <x:c r="G2" t="n">
        <x:v>3</x:v>
      </x:c>
      <x:c r="H2" t="n">
        <x:v>46188</x:v>
      </x:c>
      <x:c r="I2" t="n">
        <x:v>5</x:v>
      </x:c>
      <x:c r="J2" t="n">
        <x:v>1</x:v>
      </x:c>
      <x:c r="K2" t="str">
        <x:v>Documento assinado</x:v>
      </x:c>
      <x:c r="L2" t="str">
        <x:v>Aberto</x:v>
      </x:c>
    </x:row>
    <x:row r="3">
      <x:c r="A3" t="str">
        <x:v>E002</x:v>
      </x:c>
      <x:c r="B3" t="str">
        <x:v>C002</x:v>
      </x:c>
      <x:c r="C3" t="str">
        <x:v>Maria Oliveira</x:v>
      </x:c>
      <x:c r="D3" t="n">
        <x:v>5000</x:v>
      </x:c>
      <x:c r="E3" t="n">
        <x:v>12</x:v>
      </x:c>
      <x:c r="F3" t="n">
        <x:v>600</x:v>
      </x:c>
      <x:c r="G3" t="n">
        <x:v>5</x:v>
      </x:c>
      <x:c r="H3" t="n">
        <x:v>46193</x:v>
      </x:c>
      <x:c r="I3" t="n">
        <x:v>5</x:v>
      </x:c>
      <x:c r="J3" t="n">
        <x:v>1</x:v>
      </x:c>
      <x:c r="K3" t="str">
        <x:v>Celular</x:v>
      </x:c>
      <x:c r="L3" t="str">
        <x:v>Aberto</x:v>
      </x:c>
    </x:row>
    <x:row r="4">
      <x:c r="A4" t="str">
        <x:v>E003</x:v>
      </x:c>
      <x:c r="B4" t="str">
        <x:v>C003</x:v>
      </x:c>
      <x:c r="C4" t="str">
        <x:v>Carlos Santos</x:v>
      </x:c>
      <x:c r="D4" t="n">
        <x:v>1200</x:v>
      </x:c>
      <x:c r="E4" t="n">
        <x:v>20</x:v>
      </x:c>
      <x:c r="F4" t="n">
        <x:v>240</x:v>
      </x:c>
      <x:c r="G4" t="n">
        <x:v>2</x:v>
      </x:c>
      <x:c r="H4" t="n">
        <x:v>46176</x:v>
      </x:c>
      <x:c r="I4" t="n">
        <x:v>8</x:v>
      </x:c>
      <x:c r="J4" t="n">
        <x:v>1.5</x:v>
      </x:c>
      <x:c r="K4" t="str">
        <x:v>Promissória</x:v>
      </x:c>
      <x:c r="L4" t="str">
        <x:v>Atrasado</x:v>
      </x:c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</x:row>
  </x:sheetData>
  <x:pageMargins left="0.7" right="0.7" top="0.75" bottom="0.75" header="0.3" footer="0.3"/>
  <x:tableParts count="1">
    <x:tablePart xmlns:r="http://schemas.openxmlformats.org/officeDocument/2006/relationships" r:id="R9e0c69362bab4c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7" hidden="0" customWidth="1"/>
    <x:col min="3" max="3" width="11.4399995803833" hidden="0" customWidth="1"/>
    <x:col min="4" max="4" width="11.170000076293945" hidden="0" customWidth="1"/>
    <x:col min="5" max="5" width="4.980000019073486" hidden="0" customWidth="1"/>
    <x:col min="6" max="6" width="4.039999961853027" hidden="0" customWidth="1"/>
    <x:col min="7" max="7" width="10.229999542236328" hidden="0" customWidth="1"/>
  </x:cols>
  <x:sheetData>
    <x:row r="1">
      <x:c r="A1" s="5" t="str">
        <x:v>id</x:v>
      </x:c>
      <x:c r="B1" s="5" t="str">
        <x:v>clienteId</x:v>
      </x:c>
      <x:c r="C1" s="5" t="str">
        <x:v>emprestimoId</x:v>
      </x:c>
      <x:c r="D1" s="5" t="str">
        <x:v>cliente</x:v>
      </x:c>
      <x:c r="E1" s="5" t="str">
        <x:v>data</x:v>
      </x:c>
      <x:c r="F1" s="5" t="str">
        <x:v>valor</x:v>
      </x:c>
      <x:c r="G1" s="5" t="str">
        <x:v>tipo</x:v>
      </x:c>
    </x:row>
    <x:row r="2">
      <x:c r="A2" t="str">
        <x:v>P001</x:v>
      </x:c>
      <x:c r="B2" t="str">
        <x:v>C001</x:v>
      </x:c>
      <x:c r="C2" t="str">
        <x:v>E001</x:v>
      </x:c>
      <x:c r="D2" t="str">
        <x:v>João Silva</x:v>
      </x:c>
      <x:c r="E2" t="n">
        <x:v>46178</x:v>
      </x:c>
      <x:c r="F2" t="n">
        <x:v>375</x:v>
      </x:c>
      <x:c r="G2" t="str">
        <x:v>Juros mensal</x:v>
      </x:c>
    </x:row>
    <x:row r="3">
      <x:c r="A3" t="str">
        <x:v>P002</x:v>
      </x:c>
      <x:c r="B3" t="str">
        <x:v>C002</x:v>
      </x:c>
      <x:c r="C3" t="str">
        <x:v>E002</x:v>
      </x:c>
      <x:c r="D3" t="str">
        <x:v>Maria Oliveira</x:v>
      </x:c>
      <x:c r="E3" t="n">
        <x:v>46179</x:v>
      </x:c>
      <x:c r="F3" t="n">
        <x:v>600</x:v>
      </x:c>
      <x:c r="G3" t="str">
        <x:v>Juros mensal</x:v>
      </x:c>
    </x:row>
    <x:row r="4">
      <x:c r="A4" t="str">
        <x:v>P003</x:v>
      </x:c>
      <x:c r="B4" t="str">
        <x:v>C001</x:v>
      </x:c>
      <x:c r="C4" t="str">
        <x:v>E001</x:v>
      </x:c>
      <x:c r="D4" t="str">
        <x:v>João Silva</x:v>
      </x:c>
      <x:c r="E4" t="n">
        <x:v>46181</x:v>
      </x:c>
      <x:c r="F4" t="n">
        <x:v>1000</x:v>
      </x:c>
      <x:c r="G4" t="str">
        <x:v>Parcial</x:v>
      </x:c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6">
      <x:c r="A16" t="str"/>
      <x:c r="B16" t="str"/>
      <x:c r="C16" t="str"/>
      <x:c r="D16" t="str"/>
      <x:c r="E16" t="str"/>
      <x:c r="F16" t="str"/>
      <x:c r="G16" t="str"/>
    </x:row>
    <x:row r="17">
      <x:c r="A17" t="str"/>
      <x:c r="B17" t="str"/>
      <x:c r="C17" t="str"/>
      <x:c r="D17" t="str"/>
      <x:c r="E17" t="str"/>
      <x:c r="F17" t="str"/>
      <x:c r="G17" t="str"/>
    </x:row>
    <x:row r="18">
      <x:c r="A18" t="str"/>
      <x:c r="B18" t="str"/>
      <x:c r="C18" t="str"/>
      <x:c r="D18" t="str"/>
      <x:c r="E18" t="str"/>
      <x:c r="F18" t="str"/>
      <x:c r="G18" t="str"/>
    </x:row>
    <x:row r="19">
      <x:c r="A19" t="str"/>
      <x:c r="B19" t="str"/>
      <x:c r="C19" t="str"/>
      <x:c r="D19" t="str"/>
      <x:c r="E19" t="str"/>
      <x:c r="F19" t="str"/>
      <x:c r="G19" t="str"/>
    </x:row>
    <x:row r="20">
      <x:c r="A20" t="str"/>
      <x:c r="B20" t="str"/>
      <x:c r="C20" t="str"/>
      <x:c r="D20" t="str"/>
      <x:c r="E20" t="str"/>
      <x:c r="F20" t="str"/>
      <x:c r="G20" t="str"/>
    </x:row>
    <x:row r="21">
      <x:c r="A21" t="str"/>
      <x:c r="B21" t="str"/>
      <x:c r="C21" t="str"/>
      <x:c r="D21" t="str"/>
      <x:c r="E21" t="str"/>
      <x:c r="F21" t="str"/>
      <x:c r="G21" t="str"/>
    </x:row>
    <x:row r="22">
      <x:c r="A22" t="str"/>
      <x:c r="B22" t="str"/>
      <x:c r="C22" t="str"/>
      <x:c r="D22" t="str"/>
      <x:c r="E22" t="str"/>
      <x:c r="F22" t="str"/>
      <x:c r="G22" t="str"/>
    </x:row>
    <x:row r="23">
      <x:c r="A23" t="str"/>
      <x:c r="B23" t="str"/>
      <x:c r="C23" t="str"/>
      <x:c r="D23" t="str"/>
      <x:c r="E23" t="str"/>
      <x:c r="F23" t="str"/>
      <x:c r="G23" t="str"/>
    </x:row>
    <x:row r="24">
      <x:c r="A24" t="str"/>
      <x:c r="B24" t="str"/>
      <x:c r="C24" t="str"/>
      <x:c r="D24" t="str"/>
      <x:c r="E24" t="str"/>
      <x:c r="F24" t="str"/>
      <x:c r="G24" t="str"/>
    </x:row>
  </x:sheetData>
  <x:pageMargins left="0.7" right="0.7" top="0.75" bottom="0.75" header="0.3" footer="0.3"/>
  <x:tableParts count="1">
    <x:tablePart xmlns:r="http://schemas.openxmlformats.org/officeDocument/2006/relationships" r:id="R7abee17f074a45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170000076293945" hidden="0" customWidth="1"/>
    <x:col min="2" max="2" width="4.980000019073486" hidden="0" customWidth="1"/>
    <x:col min="3" max="3" width="9.829999923706055" hidden="0" customWidth="1"/>
    <x:col min="4" max="4" width="11.4399995803833" hidden="0" customWidth="1"/>
    <x:col min="5" max="5" width="4.039999961853027" hidden="0" customWidth="1"/>
    <x:col min="6" max="6" width="9.420000076293945" hidden="0" customWidth="1"/>
    <x:col min="7" max="7" width="19.25" hidden="0" customWidth="1"/>
  </x:cols>
  <x:sheetData>
    <x:row r="1">
      <x:c r="A1" s="5" t="str">
        <x:v>id</x:v>
      </x:c>
      <x:c r="B1" s="5" t="str">
        <x:v>data</x:v>
      </x:c>
      <x:c r="C1" s="5" t="str">
        <x:v>categoria</x:v>
      </x:c>
      <x:c r="D1" s="5" t="str">
        <x:v>descricao</x:v>
      </x:c>
      <x:c r="E1" s="5" t="str">
        <x:v>valor</x:v>
      </x:c>
      <x:c r="F1" s="5" t="str">
        <x:v>tipo</x:v>
      </x:c>
      <x:c r="G1" s="5" t="str">
        <x:v>empresa</x:v>
      </x:c>
    </x:row>
    <x:row r="2">
      <x:c r="A2" t="str">
        <x:v>D001</x:v>
      </x:c>
      <x:c r="B2" t="n">
        <x:v>46174</x:v>
      </x:c>
      <x:c r="C2" t="str">
        <x:v>Aluguel</x:v>
      </x:c>
      <x:c r="D2" t="str">
        <x:v>Despesa fixa</x:v>
      </x:c>
      <x:c r="E2" t="n">
        <x:v>1500</x:v>
      </x:c>
      <x:c r="F2" t="str">
        <x:v>Fixa</x:v>
      </x:c>
      <x:c r="G2" t="str">
        <x:v>TH EMPREENDIMENTOS</x:v>
      </x:c>
    </x:row>
    <x:row r="3">
      <x:c r="A3" t="str">
        <x:v>D002</x:v>
      </x:c>
      <x:c r="B3" t="n">
        <x:v>46177</x:v>
      </x:c>
      <x:c r="C3" t="str">
        <x:v>Combustível</x:v>
      </x:c>
      <x:c r="D3" t="str">
        <x:v>Deslocamento</x:v>
      </x:c>
      <x:c r="E3" t="n">
        <x:v>380</x:v>
      </x:c>
      <x:c r="F3" t="str">
        <x:v>Empresarial</x:v>
      </x:c>
      <x:c r="G3" t="str">
        <x:v>TH EMPREENDIMENTOS</x:v>
      </x:c>
    </x:row>
    <x:row r="4">
      <x:c r="A4" t="str">
        <x:v>D003</x:v>
      </x:c>
      <x:c r="B4" t="n">
        <x:v>46180</x:v>
      </x:c>
      <x:c r="C4" t="str">
        <x:v>Pessoal</x:v>
      </x:c>
      <x:c r="D4" t="str">
        <x:v>Gasto pessoal</x:v>
      </x:c>
      <x:c r="E4" t="n">
        <x:v>420</x:v>
      </x:c>
      <x:c r="F4" t="str">
        <x:v>Pessoal</x:v>
      </x:c>
      <x:c r="G4" t="str">
        <x:v>Pessoal</x:v>
      </x:c>
    </x:row>
    <x:row r="5">
      <x:c r="A5" t="str"/>
      <x:c r="B5" t="str"/>
      <x:c r="C5" t="str"/>
      <x:c r="D5" t="str"/>
      <x:c r="E5" t="str"/>
      <x:c r="F5" t="str"/>
      <x:c r="G5" t="str"/>
    </x:row>
    <x:row r="6">
      <x:c r="A6" t="str"/>
      <x:c r="B6" t="str"/>
      <x:c r="C6" t="str"/>
      <x:c r="D6" t="str"/>
      <x:c r="E6" t="str"/>
      <x:c r="F6" t="str"/>
      <x:c r="G6" t="str"/>
    </x:row>
    <x:row r="7">
      <x:c r="A7" t="str"/>
      <x:c r="B7" t="str"/>
      <x:c r="C7" t="str"/>
      <x:c r="D7" t="str"/>
      <x:c r="E7" t="str"/>
      <x:c r="F7" t="str"/>
      <x:c r="G7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/>
      <x:c r="B9" t="str"/>
      <x:c r="C9" t="str"/>
      <x:c r="D9" t="str"/>
      <x:c r="E9" t="str"/>
      <x:c r="F9" t="str"/>
      <x:c r="G9" t="str"/>
    </x:row>
    <x:row r="10">
      <x:c r="A10" t="str"/>
      <x:c r="B10" t="str"/>
      <x:c r="C10" t="str"/>
      <x:c r="D10" t="str"/>
      <x:c r="E10" t="str"/>
      <x:c r="F10" t="str"/>
      <x:c r="G10" t="str"/>
    </x:row>
    <x:row r="11">
      <x:c r="A11" t="str"/>
      <x:c r="B11" t="str"/>
      <x:c r="C11" t="str"/>
      <x:c r="D11" t="str"/>
      <x:c r="E11" t="str"/>
      <x:c r="F11" t="str"/>
      <x:c r="G11" t="str"/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/>
      <x:c r="B13" t="str"/>
      <x:c r="C13" t="str"/>
      <x:c r="D13" t="str"/>
      <x:c r="E13" t="str"/>
      <x:c r="F13" t="str"/>
      <x:c r="G13" t="str"/>
    </x:row>
    <x:row r="14">
      <x:c r="A14" t="str"/>
      <x:c r="B14" t="str"/>
      <x:c r="C14" t="str"/>
      <x:c r="D14" t="str"/>
      <x:c r="E14" t="str"/>
      <x:c r="F14" t="str"/>
      <x:c r="G14" t="str"/>
    </x:row>
    <x:row r="15">
      <x:c r="A15" t="str"/>
      <x:c r="B15" t="str"/>
      <x:c r="C15" t="str"/>
      <x:c r="D15" t="str"/>
      <x:c r="E15" t="str"/>
      <x:c r="F15" t="str"/>
      <x:c r="G15" t="str"/>
    </x:row>
    <x:row r="16">
      <x:c r="A16" t="str"/>
      <x:c r="B16" t="str"/>
      <x:c r="C16" t="str"/>
      <x:c r="D16" t="str"/>
      <x:c r="E16" t="str"/>
      <x:c r="F16" t="str"/>
      <x:c r="G16" t="str"/>
    </x:row>
    <x:row r="17">
      <x:c r="A17" t="str"/>
      <x:c r="B17" t="str"/>
      <x:c r="C17" t="str"/>
      <x:c r="D17" t="str"/>
      <x:c r="E17" t="str"/>
      <x:c r="F17" t="str"/>
      <x:c r="G17" t="str"/>
    </x:row>
    <x:row r="18">
      <x:c r="A18" t="str"/>
      <x:c r="B18" t="str"/>
      <x:c r="C18" t="str"/>
      <x:c r="D18" t="str"/>
      <x:c r="E18" t="str"/>
      <x:c r="F18" t="str"/>
      <x:c r="G18" t="str"/>
    </x:row>
    <x:row r="19">
      <x:c r="A19" t="str"/>
      <x:c r="B19" t="str"/>
      <x:c r="C19" t="str"/>
      <x:c r="D19" t="str"/>
      <x:c r="E19" t="str"/>
      <x:c r="F19" t="str"/>
      <x:c r="G19" t="str"/>
    </x:row>
    <x:row r="20">
      <x:c r="A20" t="str"/>
      <x:c r="B20" t="str"/>
      <x:c r="C20" t="str"/>
      <x:c r="D20" t="str"/>
      <x:c r="E20" t="str"/>
      <x:c r="F20" t="str"/>
      <x:c r="G20" t="str"/>
    </x:row>
    <x:row r="21">
      <x:c r="A21" t="str"/>
      <x:c r="B21" t="str"/>
      <x:c r="C21" t="str"/>
      <x:c r="D21" t="str"/>
      <x:c r="E21" t="str"/>
      <x:c r="F21" t="str"/>
      <x:c r="G21" t="str"/>
    </x:row>
    <x:row r="22">
      <x:c r="A22" t="str"/>
      <x:c r="B22" t="str"/>
      <x:c r="C22" t="str"/>
      <x:c r="D22" t="str"/>
      <x:c r="E22" t="str"/>
      <x:c r="F22" t="str"/>
      <x:c r="G22" t="str"/>
    </x:row>
    <x:row r="23">
      <x:c r="A23" t="str"/>
      <x:c r="B23" t="str"/>
      <x:c r="C23" t="str"/>
      <x:c r="D23" t="str"/>
      <x:c r="E23" t="str"/>
      <x:c r="F23" t="str"/>
      <x:c r="G23" t="str"/>
    </x:row>
    <x:row r="24">
      <x:c r="A24" t="str"/>
      <x:c r="B24" t="str"/>
      <x:c r="C24" t="str"/>
      <x:c r="D24" t="str"/>
      <x:c r="E24" t="str"/>
      <x:c r="F24" t="str"/>
      <x:c r="G24" t="str"/>
    </x:row>
  </x:sheetData>
  <x:pageMargins left="0.7" right="0.7" top="0.75" bottom="0.75" header="0.3" footer="0.3"/>
  <x:tableParts count="1">
    <x:tablePart xmlns:r="http://schemas.openxmlformats.org/officeDocument/2006/relationships" r:id="Ra760d6ace00045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6.190000057220459" hidden="0" customWidth="1"/>
    <x:col min="3" max="3" width="4.579999923706055" hidden="0" customWidth="1"/>
    <x:col min="4" max="4" width="9.6899995803833" hidden="0" customWidth="1"/>
    <x:col min="5" max="5" width="9.5600004196167" hidden="0" customWidth="1"/>
    <x:col min="6" max="6" width="9.289999961853027" hidden="0" customWidth="1"/>
    <x:col min="7" max="7" width="13.1899995803833" hidden="0" customWidth="1"/>
    <x:col min="8" max="8" width="5.380000114440918" hidden="0" customWidth="1"/>
  </x:cols>
  <x:sheetData>
    <x:row r="1">
      <x:c r="A1" s="5" t="str">
        <x:v>id</x:v>
      </x:c>
      <x:c r="B1" s="5" t="str">
        <x:v>banco</x:v>
      </x:c>
      <x:c r="C1" s="5" t="str">
        <x:v>limite</x:v>
      </x:c>
      <x:c r="D1" s="5" t="str">
        <x:v>fechamento</x:v>
      </x:c>
      <x:c r="E1" s="5" t="str">
        <x:v>vencimento</x:v>
      </x:c>
      <x:c r="F1" s="5" t="str">
        <x:v>valorFatura</x:v>
      </x:c>
      <x:c r="G1" s="5" t="str">
        <x:v>limiteDisponivel</x:v>
      </x:c>
      <x:c r="H1" s="5" t="str">
        <x:v>status</x:v>
      </x:c>
    </x:row>
    <x:row r="2">
      <x:c r="A2" t="str">
        <x:v>CC001</x:v>
      </x:c>
      <x:c r="B2" t="str">
        <x:v>Nubank</x:v>
      </x:c>
      <x:c r="C2" t="n">
        <x:v>8000</x:v>
      </x:c>
      <x:c r="D2" t="str">
        <x:v>10</x:v>
      </x:c>
      <x:c r="E2" t="str">
        <x:v>17</x:v>
      </x:c>
      <x:c r="F2" t="n">
        <x:v>2350</x:v>
      </x:c>
      <x:c r="G2" t="n">
        <x:v>5650</x:v>
      </x:c>
      <x:c r="H2" t="str">
        <x:v>Aberta</x:v>
      </x:c>
    </x:row>
    <x:row r="3">
      <x:c r="A3" t="str">
        <x:v>CC002</x:v>
      </x:c>
      <x:c r="B3" t="str">
        <x:v>Inter</x:v>
      </x:c>
      <x:c r="C3" t="n">
        <x:v>5000</x:v>
      </x:c>
      <x:c r="D3" t="str">
        <x:v>05</x:v>
      </x:c>
      <x:c r="E3" t="str">
        <x:v>12</x:v>
      </x:c>
      <x:c r="F3" t="n">
        <x:v>980</x:v>
      </x:c>
      <x:c r="G3" t="n">
        <x:v>4020</x:v>
      </x:c>
      <x:c r="H3" t="str">
        <x:v>Aberta</x:v>
      </x:c>
    </x:row>
    <x:row r="4">
      <x:c r="A4" t="str"/>
      <x:c r="B4" t="str"/>
      <x:c r="C4" t="str"/>
      <x:c r="D4" t="str"/>
      <x:c r="E4" t="str"/>
      <x:c r="F4" t="str"/>
      <x:c r="G4" t="str"/>
      <x:c r="H4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</x:row>
  </x:sheetData>
  <x:pageMargins left="0.7" right="0.7" top="0.75" bottom="0.75" header="0.3" footer="0.3"/>
  <x:tableParts count="1">
    <x:tablePart xmlns:r="http://schemas.openxmlformats.org/officeDocument/2006/relationships" r:id="R45d483c9530441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9.25" hidden="0" customWidth="1"/>
    <x:col min="3" max="3" width="10.630000114440918" hidden="0" customWidth="1"/>
    <x:col min="4" max="4" width="11.569999694824219" hidden="0" customWidth="1"/>
    <x:col min="5" max="5" width="12.649999618530273" hidden="0" customWidth="1"/>
    <x:col min="6" max="6" width="10.09000015258789" hidden="0" customWidth="1"/>
  </x:cols>
  <x:sheetData>
    <x:row r="1">
      <x:c r="A1" s="5" t="str">
        <x:v>id</x:v>
      </x:c>
      <x:c r="B1" s="5" t="str">
        <x:v>nome</x:v>
      </x:c>
      <x:c r="C1" s="5" t="str">
        <x:v>tipo</x:v>
      </x:c>
      <x:c r="D1" s="5" t="str">
        <x:v>receitaMensal</x:v>
      </x:c>
      <x:c r="E1" s="5" t="str">
        <x:v>despesaMensal</x:v>
      </x:c>
      <x:c r="F1" s="5" t="str">
        <x:v>lucroLiquido</x:v>
      </x:c>
    </x:row>
    <x:row r="2">
      <x:c r="A2" t="str">
        <x:v>EMP001</x:v>
      </x:c>
      <x:c r="B2" t="str">
        <x:v>TH EMPREENDIMENTOS</x:v>
      </x:c>
      <x:c r="C2" t="str">
        <x:v>Financeira</x:v>
      </x:c>
      <x:c r="D2" t="n">
        <x:v>8200</x:v>
      </x:c>
      <x:c r="E2" t="n">
        <x:v>2300</x:v>
      </x:c>
      <x:c r="F2" t="n">
        <x:v>5900</x:v>
      </x:c>
    </x:row>
    <x:row r="3">
      <x:c r="A3" t="str">
        <x:v>EMP002</x:v>
      </x:c>
      <x:c r="B3" t="str">
        <x:v>Pit Stop Cohab</x:v>
      </x:c>
      <x:c r="C3" t="str">
        <x:v>Conveniência</x:v>
      </x:c>
      <x:c r="D3" t="n">
        <x:v>18400</x:v>
      </x:c>
      <x:c r="E3" t="n">
        <x:v>12600</x:v>
      </x:c>
      <x:c r="F3" t="n">
        <x:v>5800</x:v>
      </x:c>
    </x:row>
    <x:row r="4">
      <x:c r="A4" t="str">
        <x:v>EMP003</x:v>
      </x:c>
      <x:c r="B4" t="str">
        <x:v>Outras rendas</x:v>
      </x:c>
      <x:c r="C4" t="str">
        <x:v>Renda extra</x:v>
      </x:c>
      <x:c r="D4" t="n">
        <x:v>2600</x:v>
      </x:c>
      <x:c r="E4" t="n">
        <x:v>400</x:v>
      </x:c>
      <x:c r="F4" t="n">
        <x:v>2200</x:v>
      </x:c>
    </x:row>
    <x:row r="5">
      <x:c r="A5" t="str"/>
      <x:c r="B5" t="str"/>
      <x:c r="C5" t="str"/>
      <x:c r="D5" t="str"/>
      <x:c r="E5" t="str"/>
      <x:c r="F5" t="str"/>
    </x:row>
    <x:row r="6">
      <x:c r="A6" t="str"/>
      <x:c r="B6" t="str"/>
      <x:c r="C6" t="str"/>
      <x:c r="D6" t="str"/>
      <x:c r="E6" t="str"/>
      <x:c r="F6" t="str"/>
    </x:row>
    <x:row r="7">
      <x:c r="A7" t="str"/>
      <x:c r="B7" t="str"/>
      <x:c r="C7" t="str"/>
      <x:c r="D7" t="str"/>
      <x:c r="E7" t="str"/>
      <x:c r="F7" t="str"/>
    </x:row>
    <x:row r="8">
      <x:c r="A8" t="str"/>
      <x:c r="B8" t="str"/>
      <x:c r="C8" t="str"/>
      <x:c r="D8" t="str"/>
      <x:c r="E8" t="str"/>
      <x:c r="F8" t="str"/>
    </x:row>
    <x:row r="9">
      <x:c r="A9" t="str"/>
      <x:c r="B9" t="str"/>
      <x:c r="C9" t="str"/>
      <x:c r="D9" t="str"/>
      <x:c r="E9" t="str"/>
      <x:c r="F9" t="str"/>
    </x:row>
    <x:row r="10">
      <x:c r="A10" t="str"/>
      <x:c r="B10" t="str"/>
      <x:c r="C10" t="str"/>
      <x:c r="D10" t="str"/>
      <x:c r="E10" t="str"/>
      <x:c r="F10" t="str"/>
    </x:row>
    <x:row r="11">
      <x:c r="A11" t="str"/>
      <x:c r="B11" t="str"/>
      <x:c r="C11" t="str"/>
      <x:c r="D11" t="str"/>
      <x:c r="E11" t="str"/>
      <x:c r="F11" t="str"/>
    </x:row>
    <x:row r="12">
      <x:c r="A12" t="str"/>
      <x:c r="B12" t="str"/>
      <x:c r="C12" t="str"/>
      <x:c r="D12" t="str"/>
      <x:c r="E12" t="str"/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t="str"/>
      <x:c r="B16" t="str"/>
      <x:c r="C16" t="str"/>
      <x:c r="D16" t="str"/>
      <x:c r="E16" t="str"/>
      <x:c r="F16" t="str"/>
    </x:row>
    <x:row r="17">
      <x:c r="A17" t="str"/>
      <x:c r="B17" t="str"/>
      <x:c r="C17" t="str"/>
      <x:c r="D17" t="str"/>
      <x:c r="E17" t="str"/>
      <x:c r="F17" t="str"/>
    </x:row>
    <x:row r="18">
      <x:c r="A18" t="str"/>
      <x:c r="B18" t="str"/>
      <x:c r="C18" t="str"/>
      <x:c r="D18" t="str"/>
      <x:c r="E18" t="str"/>
      <x:c r="F18" t="str"/>
    </x:row>
    <x:row r="19">
      <x:c r="A19" t="str"/>
      <x:c r="B19" t="str"/>
      <x:c r="C19" t="str"/>
      <x:c r="D19" t="str"/>
      <x:c r="E19" t="str"/>
      <x:c r="F19" t="str"/>
    </x:row>
    <x:row r="20">
      <x:c r="A20" t="str"/>
      <x:c r="B20" t="str"/>
      <x:c r="C20" t="str"/>
      <x:c r="D20" t="str"/>
      <x:c r="E20" t="str"/>
      <x:c r="F20" t="str"/>
    </x:row>
    <x:row r="21">
      <x:c r="A21" t="str"/>
      <x:c r="B21" t="str"/>
      <x:c r="C21" t="str"/>
      <x:c r="D21" t="str"/>
      <x:c r="E21" t="str"/>
      <x:c r="F21" t="str"/>
    </x:row>
    <x:row r="22">
      <x:c r="A22" t="str"/>
      <x:c r="B22" t="str"/>
      <x:c r="C22" t="str"/>
      <x:c r="D22" t="str"/>
      <x:c r="E22" t="str"/>
      <x:c r="F22" t="str"/>
    </x:row>
    <x:row r="23">
      <x:c r="A23" t="str"/>
      <x:c r="B23" t="str"/>
      <x:c r="C23" t="str"/>
      <x:c r="D23" t="str"/>
      <x:c r="E23" t="str"/>
      <x:c r="F23" t="str"/>
    </x:row>
    <x:row r="24">
      <x:c r="A24" t="str"/>
      <x:c r="B24" t="str"/>
      <x:c r="C24" t="str"/>
      <x:c r="D24" t="str"/>
      <x:c r="E24" t="str"/>
      <x:c r="F24" t="str"/>
    </x:row>
  </x:sheetData>
  <x:pageMargins left="0.7" right="0.7" top="0.75" bottom="0.75" header="0.3" footer="0.3"/>
  <x:tableParts count="1">
    <x:tablePart xmlns:r="http://schemas.openxmlformats.org/officeDocument/2006/relationships" r:id="R90cb7a51b62147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7.470001220703125" hidden="0" customWidth="1"/>
    <x:col min="2" max="2" width="6.730000019073486" hidden="0" customWidth="1"/>
  </x:cols>
  <x:sheetData>
    <x:row r="1">
      <x:c r="A1" s="11" t="str">
        <x:v>TH EMPREENDIMENTOS - Planilha Backend</x:v>
      </x:c>
    </x:row>
    <x:row r="3">
      <x:c r="A3" s="15" t="str">
        <x:v>Indicador</x:v>
      </x:c>
      <x:c r="B3" s="15" t="str">
        <x:v>Fórmula</x:v>
      </x:c>
    </x:row>
    <x:row r="4">
      <x:c r="A4" t="str">
        <x:v>Capital emprestado</x:v>
      </x:c>
      <x:c r="B4" s="18" t="n">
        <x:f>SUM(Emprestimos!D2:D1000)</x:f>
        <x:v>8700</x:v>
      </x:c>
    </x:row>
    <x:row r="5">
      <x:c r="A5" t="str">
        <x:v>Juros mensais</x:v>
      </x:c>
      <x:c r="B5" s="18" t="n">
        <x:f>SUM(Emprestimos!F2:F1000)</x:f>
        <x:v>1215</x:v>
      </x:c>
    </x:row>
    <x:row r="6">
      <x:c r="A6" t="str">
        <x:v>Total recebido</x:v>
      </x:c>
      <x:c r="B6" s="18" t="n">
        <x:f>SUM(Pagamentos!F2:F1000)</x:f>
        <x:v>1975</x:v>
      </x:c>
    </x:row>
    <x:row r="7">
      <x:c r="A7" t="str">
        <x:v>Despesas</x:v>
      </x:c>
      <x:c r="B7" s="18" t="n">
        <x:f>SUM(Despesas!E2:E1000)</x:f>
        <x:v>2300</x:v>
      </x:c>
    </x:row>
    <x:row r="8">
      <x:c r="A8" t="str">
        <x:v>Cartões</x:v>
      </x:c>
      <x:c r="B8" s="18" t="n">
        <x:f>SUM(Cartoes!F2:F1000)</x:f>
        <x:v>3330</x:v>
      </x:c>
    </x:row>
    <x:row r="9">
      <x:c r="A9" t="str">
        <x:v>Rendas empresas</x:v>
      </x:c>
      <x:c r="B9" s="18" t="n">
        <x:f>SUM(Empresas!F2:F1000)</x:f>
        <x:v>13900</x:v>
      </x:c>
    </x:row>
    <x:row r="10">
      <x:c r="A10" t="str">
        <x:v>Lucro líquido</x:v>
      </x:c>
      <x:c r="B10" s="18" t="n">
        <x:f>B5+B8-B6-B7</x:f>
        <x:v>270</x:v>
      </x:c>
    </x:row>
  </x:sheetData>
  <x:mergeCells>
    <x:mergeCell ref="A1:F1"/>
  </x:mergeCells>
  <x:pageMargins left="0.7" right="0.7" top="0.75" bottom="0.75" header="0.3" footer="0.3"/>
</x:worksheet>
</file>